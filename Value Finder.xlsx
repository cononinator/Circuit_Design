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-my.sharepoint.com/personal/b_gillanders1_universityofgalway_ie/Documents/University/Year 5/EE5105/Circuit_Design/"/>
    </mc:Choice>
  </mc:AlternateContent>
  <xr:revisionPtr revIDLastSave="162" documentId="13_ncr:1_{F751A995-23B1-4151-BAF0-BA5AE1EA4B0F}" xr6:coauthVersionLast="47" xr6:coauthVersionMax="47" xr10:uidLastSave="{B546B4CC-CCAF-4031-894C-0B4B21A0B7B7}"/>
  <bookViews>
    <workbookView xWindow="-120" yWindow="-120" windowWidth="29040" windowHeight="15720" activeTab="1" xr2:uid="{44192CF1-4E54-4094-A156-12815939296E}"/>
  </bookViews>
  <sheets>
    <sheet name="Value Finder" sheetId="1" r:id="rId1"/>
    <sheet name="Results" sheetId="2" r:id="rId2"/>
    <sheet name="CMRR" sheetId="3" r:id="rId3"/>
  </sheets>
  <definedNames>
    <definedName name="C_1">'Value Finder'!$B$7</definedName>
    <definedName name="C_4">'Value Finder'!$B$27</definedName>
    <definedName name="C_c">'Value Finder'!$B$3</definedName>
    <definedName name="Cap_4">'Value Finder'!$B$27</definedName>
    <definedName name="Cc">'Value Finder'!$B$3</definedName>
    <definedName name="CMRRFreq">CMRR!$B$1</definedName>
    <definedName name="CMRRGain">CMRR!$B$3</definedName>
    <definedName name="CMRRNoise">CMRR!$B$2</definedName>
    <definedName name="F_Lo">'Value Finder'!$B$1</definedName>
    <definedName name="Gain">'Value Finder'!$B$4</definedName>
    <definedName name="Lo">'Value Finder'!$B$1</definedName>
    <definedName name="R_1">'Value Finder'!$B$5</definedName>
    <definedName name="R_2">'Value Finder'!$B$6</definedName>
    <definedName name="R_3">'Value Finder'!$B$28</definedName>
    <definedName name="R_4">'Value Finder'!$B$29</definedName>
    <definedName name="R_c">'Value Finder'!$B$2</definedName>
    <definedName name="solver_adj" localSheetId="0" hidden="1">'Value Finder'!$B$1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'Value Finder'!$B$1</definedName>
    <definedName name="solver_lhs2" localSheetId="0" hidden="1">'Value Finder'!$B$1</definedName>
    <definedName name="solver_lhs3" localSheetId="0" hidden="1">'Value Finder'!$B$4</definedName>
    <definedName name="solver_lhs4" localSheetId="0" hidden="1">'Value Finder'!$B$4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'Value Finder'!$C$3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0.1</definedName>
    <definedName name="solver_rhs2" localSheetId="0" hidden="1">0.02</definedName>
    <definedName name="solver_rhs3" localSheetId="0" hidden="1">200</definedName>
    <definedName name="solver_rhs4" localSheetId="0" hidden="1">100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0.00000068</definedName>
    <definedName name="solver_ver" localSheetId="0" hidden="1">3</definedName>
    <definedName name="Vin">Results!$B$16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2" i="2"/>
  <c r="C12" i="2"/>
  <c r="D3" i="2"/>
  <c r="C3" i="2"/>
  <c r="D6" i="3"/>
  <c r="D7" i="3"/>
  <c r="D8" i="3"/>
  <c r="D9" i="3"/>
  <c r="D11" i="3"/>
  <c r="D12" i="3"/>
  <c r="D13" i="3"/>
  <c r="D14" i="3"/>
  <c r="D15" i="3"/>
  <c r="D16" i="3"/>
  <c r="C6" i="3"/>
  <c r="C7" i="3"/>
  <c r="C8" i="3"/>
  <c r="C9" i="3"/>
  <c r="C10" i="3"/>
  <c r="C11" i="3"/>
  <c r="C12" i="3"/>
  <c r="C13" i="3"/>
  <c r="C14" i="3"/>
  <c r="C15" i="3"/>
  <c r="C16" i="3"/>
  <c r="D5" i="3"/>
  <c r="C5" i="3"/>
  <c r="D23" i="2"/>
  <c r="C21" i="2"/>
  <c r="D21" i="2" s="1"/>
  <c r="C19" i="2"/>
  <c r="D19" i="2" s="1"/>
  <c r="C20" i="2"/>
  <c r="D20" i="2" s="1"/>
  <c r="C23" i="2"/>
  <c r="C22" i="2"/>
  <c r="D22" i="2" s="1"/>
  <c r="C5" i="2"/>
  <c r="D5" i="2" s="1"/>
  <c r="C4" i="2"/>
  <c r="D4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B18" i="1"/>
  <c r="B17" i="1"/>
  <c r="B19" i="1" s="1"/>
  <c r="B13" i="1"/>
  <c r="B12" i="1"/>
  <c r="B30" i="1" l="1"/>
  <c r="B6" i="1"/>
  <c r="B23" i="1"/>
  <c r="B22" i="1"/>
  <c r="B24" i="1" l="1"/>
  <c r="B14" i="1"/>
  <c r="C2" i="1" a="1"/>
  <c r="C2" i="1" s="1"/>
  <c r="C5" i="1" a="1"/>
  <c r="C5" i="1" s="1"/>
  <c r="C6" i="1" a="1"/>
  <c r="C6" i="1" s="1"/>
  <c r="B3" i="1"/>
  <c r="C3" i="1" s="1" a="1"/>
  <c r="C3" i="1" s="1"/>
  <c r="B7" i="1" l="1"/>
  <c r="C7" i="1" s="1" a="1"/>
  <c r="C7" i="1" s="1"/>
  <c r="C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<sst xmlns="http://schemas.openxmlformats.org/spreadsheetml/2006/main" count="56" uniqueCount="44">
  <si>
    <t>Rc</t>
  </si>
  <si>
    <t>Cc</t>
  </si>
  <si>
    <t>R1</t>
  </si>
  <si>
    <t>C1</t>
  </si>
  <si>
    <t>R2</t>
  </si>
  <si>
    <t>G</t>
  </si>
  <si>
    <t>Input Cutoff</t>
  </si>
  <si>
    <t>Resistors</t>
  </si>
  <si>
    <t>Capacitors</t>
  </si>
  <si>
    <t>OpAmp Cutoff</t>
  </si>
  <si>
    <t>Difference</t>
  </si>
  <si>
    <t xml:space="preserve">Actual Results </t>
  </si>
  <si>
    <t>Av</t>
  </si>
  <si>
    <t>Output Cutoff</t>
  </si>
  <si>
    <t>R3</t>
  </si>
  <si>
    <t>R4</t>
  </si>
  <si>
    <t>C4</t>
  </si>
  <si>
    <t>PHASE ISSUE</t>
  </si>
  <si>
    <t>Freq</t>
  </si>
  <si>
    <t>Phase</t>
  </si>
  <si>
    <t>Measured</t>
  </si>
  <si>
    <t>Mistake Result</t>
  </si>
  <si>
    <t>Gain</t>
  </si>
  <si>
    <t>Simulated</t>
  </si>
  <si>
    <t>Voltage</t>
  </si>
  <si>
    <t>Vin</t>
  </si>
  <si>
    <t>Gain(dB)</t>
  </si>
  <si>
    <t>CMMR</t>
  </si>
  <si>
    <t>Vpp</t>
  </si>
  <si>
    <t>Input Voltage</t>
  </si>
  <si>
    <t>Output Voltage</t>
  </si>
  <si>
    <t>Frequency (Hz)</t>
  </si>
  <si>
    <t>Noise (V)</t>
  </si>
  <si>
    <t>Image</t>
  </si>
  <si>
    <t>5, 6</t>
  </si>
  <si>
    <t>7, 8</t>
  </si>
  <si>
    <t>9, 10</t>
  </si>
  <si>
    <t>11, 12</t>
  </si>
  <si>
    <t>13, 14</t>
  </si>
  <si>
    <t>15, 16</t>
  </si>
  <si>
    <t>17, 18</t>
  </si>
  <si>
    <t>Noise floor</t>
  </si>
  <si>
    <t>19, 20</t>
  </si>
  <si>
    <t>CMRR Without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</si>
</sst>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10" fontId="0" fillId="0" borderId="0" xfId="1" applyNumberFormat="1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Gain Response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Measured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Results!$A$3:$A$12</c:f>
              <c:numCache>
                <c:formatCode>General</c:formatCode>
                <c:ptCount val="10"/>
                <c:pt idx="0">
                  <c:v>0.33800000000000002</c:v>
                </c:pt>
                <c:pt idx="1">
                  <c:v>0.5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1000</c:v>
                </c:pt>
                <c:pt idx="9">
                  <c:v>4822</c:v>
                </c:pt>
              </c:numCache>
            </c:numRef>
          </c:xVal>
          <c:yVal>
            <c:numRef>
              <c:f>Results!$D$3:$D$12</c:f>
              <c:numCache>
                <c:formatCode>General</c:formatCode>
                <c:ptCount val="10"/>
                <c:pt idx="0">
                  <c:v>43.227360044699495</c:v>
                </c:pt>
                <c:pt idx="1">
                  <c:v>44.336508465320954</c:v>
                </c:pt>
                <c:pt idx="2">
                  <c:v>45.688614676890388</c:v>
                </c:pt>
                <c:pt idx="3">
                  <c:v>46.10702738893248</c:v>
                </c:pt>
                <c:pt idx="4">
                  <c:v>46.063921148409776</c:v>
                </c:pt>
                <c:pt idx="5">
                  <c:v>46.063921148409776</c:v>
                </c:pt>
                <c:pt idx="6">
                  <c:v>46.085501009542568</c:v>
                </c:pt>
                <c:pt idx="7">
                  <c:v>46.053111079014364</c:v>
                </c:pt>
                <c:pt idx="8">
                  <c:v>45.889324523231856</c:v>
                </c:pt>
                <c:pt idx="9">
                  <c:v>42.766053963325632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8-4065-B5BB-824DD89A767B}"/>
            </c:ext>
          </c:extLst>
        </c:ser>
        <c:ser>
          <c:idx val="1"/>
          <c:order val="1"/>
          <c:tx>
            <c:strRef>
              <c:f>Results!$F$1</c:f>
              <c:strCache>
                <c:ptCount val="1"/>
                <c:pt idx="0">
                  <c:v>Simulated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Results!$A$3:$A$12</c:f>
              <c:numCache>
                <c:formatCode>General</c:formatCode>
                <c:ptCount val="10"/>
                <c:pt idx="0">
                  <c:v>0.33800000000000002</c:v>
                </c:pt>
                <c:pt idx="1">
                  <c:v>0.5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1000</c:v>
                </c:pt>
                <c:pt idx="9">
                  <c:v>4822</c:v>
                </c:pt>
              </c:numCache>
            </c:numRef>
          </c:xVal>
          <c:yVal>
            <c:numRef>
              <c:f>Results!$F$3:$F$12</c:f>
              <c:numCache>
                <c:formatCode>General</c:formatCode>
                <c:ptCount val="10"/>
                <c:pt idx="0">
                  <c:v>43</c:v>
                </c:pt>
                <c:pt idx="1">
                  <c:v>44.4</c:v>
                </c:pt>
                <c:pt idx="2">
                  <c:v>45.59</c:v>
                </c:pt>
                <c:pt idx="3">
                  <c:v>46.04</c:v>
                </c:pt>
                <c:pt idx="4">
                  <c:v>46.05</c:v>
                </c:pt>
                <c:pt idx="5">
                  <c:v>46.06</c:v>
                </c:pt>
                <c:pt idx="6">
                  <c:v>46.06</c:v>
                </c:pt>
                <c:pt idx="7">
                  <c:v>46.05</c:v>
                </c:pt>
                <c:pt idx="8">
                  <c:v>45.87</c:v>
                </c:pt>
                <c:pt idx="9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8-4065-B5BB-824DD89A7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100735"/>
        <c:axId val="1680095455"/>
      </c:scatterChart>
      <c:valAx>
        <c:axId val="168010073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1">
                    <a:solidFill>
                      <a:sysClr val="windowText" lastClr="000000"/>
                    </a:solidFill>
                  </a:rPr>
                  <a:t>Frequency</a:t>
                </a:r>
                <a:r>
                  <a:rPr lang="en-IE" sz="1200" b="1" baseline="0">
                    <a:solidFill>
                      <a:sysClr val="windowText" lastClr="000000"/>
                    </a:solidFill>
                  </a:rPr>
                  <a:t> (Hz)</a:t>
                </a:r>
                <a:endParaRPr lang="en-IE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95455"/>
        <c:crosses val="autoZero"/>
        <c:crossBetween val="midCat"/>
      </c:valAx>
      <c:valAx>
        <c:axId val="16800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1">
                    <a:solidFill>
                      <a:sysClr val="windowText" lastClr="000000"/>
                    </a:solidFill>
                  </a:rPr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10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Phase Response vs</a:t>
            </a:r>
            <a:r>
              <a:rPr lang="en-US" sz="1800" b="1" baseline="0">
                <a:solidFill>
                  <a:sysClr val="windowText" lastClr="000000"/>
                </a:solidFill>
              </a:rPr>
              <a:t> Frequency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2976217914913"/>
          <c:y val="0.13311797132035885"/>
          <c:w val="0.84459481463928698"/>
          <c:h val="0.6651829088736648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Results!$B$1</c:f>
              <c:strCache>
                <c:ptCount val="1"/>
                <c:pt idx="0">
                  <c:v>Measured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Results!$A$4:$A$12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1000</c:v>
                </c:pt>
                <c:pt idx="8">
                  <c:v>4822</c:v>
                </c:pt>
              </c:numCache>
            </c:numRef>
          </c:xVal>
          <c:yVal>
            <c:numRef>
              <c:f>Results!$E$4:$E$12</c:f>
              <c:numCache>
                <c:formatCode>General</c:formatCode>
                <c:ptCount val="9"/>
                <c:pt idx="0">
                  <c:v>33.799999999999997</c:v>
                </c:pt>
                <c:pt idx="1">
                  <c:v>20.5</c:v>
                </c:pt>
                <c:pt idx="2">
                  <c:v>3.7</c:v>
                </c:pt>
                <c:pt idx="3">
                  <c:v>1.7</c:v>
                </c:pt>
                <c:pt idx="4">
                  <c:v>-0.3</c:v>
                </c:pt>
                <c:pt idx="5">
                  <c:v>0.6</c:v>
                </c:pt>
                <c:pt idx="6">
                  <c:v>-1</c:v>
                </c:pt>
                <c:pt idx="7">
                  <c:v>-14</c:v>
                </c:pt>
                <c:pt idx="8">
                  <c:v>-48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B7-44B9-8821-25DEBE23BF00}"/>
            </c:ext>
          </c:extLst>
        </c:ser>
        <c:ser>
          <c:idx val="4"/>
          <c:order val="1"/>
          <c:tx>
            <c:strRef>
              <c:f>Results!$F$1</c:f>
              <c:strCache>
                <c:ptCount val="1"/>
                <c:pt idx="0">
                  <c:v>Simulated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Results!$A$4:$A$12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1000</c:v>
                </c:pt>
                <c:pt idx="8">
                  <c:v>4822</c:v>
                </c:pt>
              </c:numCache>
            </c:numRef>
          </c:xVal>
          <c:yVal>
            <c:numRef>
              <c:f>Results!$G$4:$G$12</c:f>
              <c:numCache>
                <c:formatCode>General</c:formatCode>
                <c:ptCount val="9"/>
                <c:pt idx="0">
                  <c:v>33.96</c:v>
                </c:pt>
                <c:pt idx="1">
                  <c:v>18.68</c:v>
                </c:pt>
                <c:pt idx="2">
                  <c:v>3.8</c:v>
                </c:pt>
                <c:pt idx="3">
                  <c:v>1.83</c:v>
                </c:pt>
                <c:pt idx="4">
                  <c:v>-0.27</c:v>
                </c:pt>
                <c:pt idx="5">
                  <c:v>-1.1299999999999999</c:v>
                </c:pt>
                <c:pt idx="6">
                  <c:v>-1.86</c:v>
                </c:pt>
                <c:pt idx="7">
                  <c:v>-13</c:v>
                </c:pt>
                <c:pt idx="8">
                  <c:v>-51.6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B7-44B9-8821-25DEBE23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720447"/>
        <c:axId val="1226728127"/>
      </c:scatterChart>
      <c:valAx>
        <c:axId val="122672044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28127"/>
        <c:crosses val="autoZero"/>
        <c:crossBetween val="midCat"/>
      </c:valAx>
      <c:valAx>
        <c:axId val="12267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1">
                    <a:solidFill>
                      <a:sysClr val="windowText" lastClr="000000"/>
                    </a:solidFill>
                  </a:rPr>
                  <a:t>Phase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2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800" b="1">
                <a:solidFill>
                  <a:sysClr val="windowText" lastClr="000000"/>
                </a:solidFill>
              </a:rPr>
              <a:t>CMMR vs Common Mode</a:t>
            </a:r>
            <a:r>
              <a:rPr lang="en-IE" sz="1800" b="1" baseline="0">
                <a:solidFill>
                  <a:sysClr val="windowText" lastClr="000000"/>
                </a:solidFill>
              </a:rPr>
              <a:t> Input Voltage</a:t>
            </a:r>
            <a:endParaRPr lang="en-IE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16454271048845"/>
          <c:y val="0.15352539933902903"/>
          <c:w val="0.85513492752293119"/>
          <c:h val="0.69048596977644849"/>
        </c:manualLayout>
      </c:layout>
      <c:scatterChart>
        <c:scatterStyle val="lineMarker"/>
        <c:varyColors val="0"/>
        <c:ser>
          <c:idx val="1"/>
          <c:order val="0"/>
          <c:tx>
            <c:strRef>
              <c:f>CMRR!$C$4</c:f>
              <c:strCache>
                <c:ptCount val="1"/>
                <c:pt idx="0">
                  <c:v>CMMR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CMRR!$A$5:$A$16</c:f>
              <c:numCache>
                <c:formatCode>General</c:formatCode>
                <c:ptCount val="12"/>
                <c:pt idx="0">
                  <c:v>5</c:v>
                </c:pt>
                <c:pt idx="1">
                  <c:v>2.5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0.02</c:v>
                </c:pt>
              </c:numCache>
            </c:numRef>
          </c:xVal>
          <c:yVal>
            <c:numRef>
              <c:f>CMRR!$C$5:$C$16</c:f>
              <c:numCache>
                <c:formatCode>General</c:formatCode>
                <c:ptCount val="12"/>
                <c:pt idx="0">
                  <c:v>79.455645681425963</c:v>
                </c:pt>
                <c:pt idx="1">
                  <c:v>78.905224208400696</c:v>
                </c:pt>
                <c:pt idx="2">
                  <c:v>77.120760521565387</c:v>
                </c:pt>
                <c:pt idx="3">
                  <c:v>74.468249216073573</c:v>
                </c:pt>
                <c:pt idx="4">
                  <c:v>64.480296227457274</c:v>
                </c:pt>
                <c:pt idx="5">
                  <c:v>60.043321235130158</c:v>
                </c:pt>
                <c:pt idx="6">
                  <c:v>52.084521061689401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8-4DD2-8F3F-A522BB9A5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269248"/>
        <c:axId val="1999268288"/>
      </c:scatterChart>
      <c:valAx>
        <c:axId val="19992692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1">
                    <a:solidFill>
                      <a:sysClr val="windowText" lastClr="000000"/>
                    </a:solidFill>
                  </a:rPr>
                  <a:t>Common-Mode Input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68288"/>
        <c:crosses val="autoZero"/>
        <c:crossBetween val="midCat"/>
      </c:valAx>
      <c:valAx>
        <c:axId val="19992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1">
                    <a:solidFill>
                      <a:sysClr val="windowText" lastClr="000000"/>
                    </a:solidFill>
                  </a:rPr>
                  <a:t>CMMR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6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0</xdr:row>
      <xdr:rowOff>61912</xdr:rowOff>
    </xdr:from>
    <xdr:ext cx="928908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F0BB618-1B25-3A40-1028-716393C138F7}"/>
                </a:ext>
              </a:extLst>
            </xdr:cNvPr>
            <xdr:cNvSpPr txBox="1"/>
          </xdr:nvSpPr>
          <xdr:spPr>
            <a:xfrm>
              <a:off x="2286000" y="61912"/>
              <a:ext cx="928908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I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2.</m:t>
                        </m:r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𝜋</m:t>
                        </m:r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.</m:t>
                        </m:r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.</m:t>
                        </m:r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E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F0BB618-1B25-3A40-1028-716393C138F7}"/>
                </a:ext>
              </a:extLst>
            </xdr:cNvPr>
            <xdr:cNvSpPr txBox="1"/>
          </xdr:nvSpPr>
          <xdr:spPr>
            <a:xfrm>
              <a:off x="2286000" y="61912"/>
              <a:ext cx="928908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E" sz="1100" b="0" i="0">
                  <a:latin typeface="Cambria Math" panose="02040503050406030204" pitchFamily="18" charset="0"/>
                </a:rPr>
                <a:t>𝑓_𝑐=1/(2.𝜋.𝑅_𝑐.𝐶_𝑐 )</a:t>
              </a:r>
              <a:endParaRPr lang="en-IE" sz="1100"/>
            </a:p>
          </xdr:txBody>
        </xdr:sp>
      </mc:Fallback>
    </mc:AlternateContent>
    <xdr:clientData/>
  </xdr:oneCellAnchor>
  <xdr:oneCellAnchor>
    <xdr:from>
      <xdr:col>3</xdr:col>
      <xdr:colOff>266700</xdr:colOff>
      <xdr:row>2</xdr:row>
      <xdr:rowOff>147637</xdr:rowOff>
    </xdr:from>
    <xdr:ext cx="853887" cy="345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B86CD1-0C40-4EB2-E76C-2998BAA9C645}"/>
                </a:ext>
              </a:extLst>
            </xdr:cNvPr>
            <xdr:cNvSpPr txBox="1"/>
          </xdr:nvSpPr>
          <xdr:spPr>
            <a:xfrm>
              <a:off x="2286000" y="528637"/>
              <a:ext cx="853887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E" sz="11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I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+2</m:t>
                        </m:r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E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B86CD1-0C40-4EB2-E76C-2998BAA9C645}"/>
                </a:ext>
              </a:extLst>
            </xdr:cNvPr>
            <xdr:cNvSpPr txBox="1"/>
          </xdr:nvSpPr>
          <xdr:spPr>
            <a:xfrm>
              <a:off x="2286000" y="528637"/>
              <a:ext cx="853887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E" sz="1100" b="0" i="0">
                  <a:latin typeface="Cambria Math" panose="02040503050406030204" pitchFamily="18" charset="0"/>
                </a:rPr>
                <a:t>𝐺=(𝑅_1+2𝑅_2)/𝑅_1 </a:t>
              </a:r>
              <a:endParaRPr lang="en-IE" sz="1100"/>
            </a:p>
          </xdr:txBody>
        </xdr:sp>
      </mc:Fallback>
    </mc:AlternateContent>
    <xdr:clientData/>
  </xdr:oneCellAnchor>
  <xdr:oneCellAnchor>
    <xdr:from>
      <xdr:col>3</xdr:col>
      <xdr:colOff>257175</xdr:colOff>
      <xdr:row>5</xdr:row>
      <xdr:rowOff>42862</xdr:rowOff>
    </xdr:from>
    <xdr:ext cx="135197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4473851-9B8A-349E-7E31-58293F99745D}"/>
                </a:ext>
              </a:extLst>
            </xdr:cNvPr>
            <xdr:cNvSpPr txBox="1"/>
          </xdr:nvSpPr>
          <xdr:spPr>
            <a:xfrm>
              <a:off x="2276475" y="995362"/>
              <a:ext cx="13519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IE" sz="1100" b="0" i="1"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IE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+2</m:t>
                        </m:r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IE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4473851-9B8A-349E-7E31-58293F99745D}"/>
                </a:ext>
              </a:extLst>
            </xdr:cNvPr>
            <xdr:cNvSpPr txBox="1"/>
          </xdr:nvSpPr>
          <xdr:spPr>
            <a:xfrm>
              <a:off x="2276475" y="995362"/>
              <a:ext cx="13519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E" sz="1100" b="0" i="0">
                  <a:latin typeface="Cambria Math" panose="02040503050406030204" pitchFamily="18" charset="0"/>
                </a:rPr>
                <a:t>𝐶_𝑐.𝑅_𝑐=𝐶_1 (𝑅_1+2𝑅_2 )</a:t>
              </a:r>
              <a:endParaRPr lang="en-IE" sz="1100"/>
            </a:p>
          </xdr:txBody>
        </xdr:sp>
      </mc:Fallback>
    </mc:AlternateContent>
    <xdr:clientData/>
  </xdr:oneCellAnchor>
  <xdr:oneCellAnchor>
    <xdr:from>
      <xdr:col>5</xdr:col>
      <xdr:colOff>171450</xdr:colOff>
      <xdr:row>2</xdr:row>
      <xdr:rowOff>109537</xdr:rowOff>
    </xdr:from>
    <xdr:ext cx="99450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ADCEBE1-CCD0-0FEE-419D-666B1AC4D951}"/>
                </a:ext>
              </a:extLst>
            </xdr:cNvPr>
            <xdr:cNvSpPr txBox="1"/>
          </xdr:nvSpPr>
          <xdr:spPr>
            <a:xfrm>
              <a:off x="3409950" y="490537"/>
              <a:ext cx="99450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I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IE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n-I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𝐺</m:t>
                        </m:r>
                        <m:r>
                          <a:rPr lang="en-I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</m:oMath>
                </m:oMathPara>
              </a14:m>
              <a:endParaRPr lang="en-IE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ADCEBE1-CCD0-0FEE-419D-666B1AC4D951}"/>
                </a:ext>
              </a:extLst>
            </xdr:cNvPr>
            <xdr:cNvSpPr txBox="1"/>
          </xdr:nvSpPr>
          <xdr:spPr>
            <a:xfrm>
              <a:off x="3409950" y="490537"/>
              <a:ext cx="99450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E" sz="1100" b="0" i="0">
                  <a:latin typeface="Cambria Math" panose="02040503050406030204" pitchFamily="18" charset="0"/>
                </a:rPr>
                <a:t>𝑅_2=𝑅_1/2 (𝐺−1)</a:t>
              </a:r>
              <a:endParaRPr lang="en-IE" sz="1100"/>
            </a:p>
          </xdr:txBody>
        </xdr:sp>
      </mc:Fallback>
    </mc:AlternateContent>
    <xdr:clientData/>
  </xdr:oneCellAnchor>
  <xdr:twoCellAnchor editAs="oneCell">
    <xdr:from>
      <xdr:col>13</xdr:col>
      <xdr:colOff>157655</xdr:colOff>
      <xdr:row>0</xdr:row>
      <xdr:rowOff>183931</xdr:rowOff>
    </xdr:from>
    <xdr:to>
      <xdr:col>22</xdr:col>
      <xdr:colOff>346650</xdr:colOff>
      <xdr:row>5</xdr:row>
      <xdr:rowOff>60222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477015-DCB6-2014-A256-CD3CD146D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172" y="183931"/>
          <a:ext cx="5687219" cy="828791"/>
        </a:xfrm>
        <a:prstGeom prst="rect">
          <a:avLst/>
        </a:prstGeom>
      </xdr:spPr>
    </xdr:pic>
    <xdr:clientData/>
  </xdr:twoCellAnchor>
  <xdr:twoCellAnchor editAs="oneCell">
    <xdr:from>
      <xdr:col>13</xdr:col>
      <xdr:colOff>197069</xdr:colOff>
      <xdr:row>5</xdr:row>
      <xdr:rowOff>131379</xdr:rowOff>
    </xdr:from>
    <xdr:to>
      <xdr:col>22</xdr:col>
      <xdr:colOff>281274</xdr:colOff>
      <xdr:row>8</xdr:row>
      <xdr:rowOff>83827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CB797B-1176-5BC8-82C2-98020CDAC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5586" y="1083879"/>
          <a:ext cx="5582429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382121</xdr:colOff>
      <xdr:row>6</xdr:row>
      <xdr:rowOff>166968</xdr:rowOff>
    </xdr:from>
    <xdr:to>
      <xdr:col>27</xdr:col>
      <xdr:colOff>493061</xdr:colOff>
      <xdr:row>28</xdr:row>
      <xdr:rowOff>112058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E646A-506C-FB28-01A4-B754E13F5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55166</xdr:colOff>
      <xdr:row>7</xdr:row>
      <xdr:rowOff>21118</xdr:rowOff>
    </xdr:from>
    <xdr:to>
      <xdr:col>17</xdr:col>
      <xdr:colOff>162485</xdr:colOff>
      <xdr:row>28</xdr:row>
      <xdr:rowOff>156881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1EC26-9534-4E55-9986-FECE1B0EB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67089</xdr:colOff>
      <xdr:row>2</xdr:row>
      <xdr:rowOff>94008</xdr:rowOff>
    </xdr:from>
    <xdr:to>
      <xdr:col>15</xdr:col>
      <xdr:colOff>86139</xdr:colOff>
      <xdr:row>20</xdr:row>
      <xdr:rowOff>136870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7C5F1-F471-E85F-41F5-31494D981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E90A-6DC5-4F91-AD8A-EC7669570140}">
  <dimension ref="A1:K30"/>
  <sheetViews>
    <sheetView zoomScale="130" zoomScaleNormal="130" workbookViewId="0">
      <selection activeCell="B17" sqref="B17"/>
    </sheetView>
  </sheetViews>
  <sheetFormatPr defaultRowHeight="15" x14ac:dyDescent="0.25"/>
  <cols>
    <col min="1" max="1" width="21.7109375" bestFit="1" customWidth="1"/>
    <col min="2" max="2" width="15.7109375" customWidth="1"/>
    <col min="11" max="11" width="10.28515625" bestFit="1" customWidth="1"/>
  </cols>
  <sheetData>
    <row r="1" spans="1:11" x14ac:dyDescent="0.25">
      <c r="A1" t="s">
        <v>6</v>
      </c>
      <c r="B1">
        <v>1.5900000000000001E-3</v>
      </c>
      <c r="I1" t="s">
        <v>7</v>
      </c>
      <c r="K1" t="s">
        <v>8</v>
      </c>
    </row>
    <row r="2" spans="1:11" x14ac:dyDescent="0.25">
      <c r="A2" t="s">
        <v>0</v>
      </c>
      <c r="B2" s="1">
        <v>10000000</v>
      </c>
      <c r="C2" cm="1">
        <f t="array" ref="C2">SUMPRODUCT((ABS(R_c-$I$2:$I$12)/ABS($I$2:$I$12)&lt;=0.05)*1)</f>
        <v>1</v>
      </c>
      <c r="I2" s="1">
        <v>6800000</v>
      </c>
      <c r="K2" s="1">
        <v>6.7999999999999995E-7</v>
      </c>
    </row>
    <row r="3" spans="1:11" x14ac:dyDescent="0.25">
      <c r="A3" t="s">
        <v>1</v>
      </c>
      <c r="B3">
        <f>1/(2*PI()*R_c*F_Lo)</f>
        <v>1.0009744848546875E-5</v>
      </c>
      <c r="C3" cm="1">
        <f t="array" ref="C3">SUMPRODUCT((ABS(C_c-$K$2:$K$19)/ABS($K$2:$K$19)&lt;=0.05)*1)</f>
        <v>1</v>
      </c>
      <c r="I3" s="1">
        <v>680000</v>
      </c>
      <c r="K3" s="1">
        <v>3.3000000000000002E-7</v>
      </c>
    </row>
    <row r="4" spans="1:11" x14ac:dyDescent="0.25">
      <c r="A4" t="s">
        <v>5</v>
      </c>
      <c r="B4">
        <v>201</v>
      </c>
      <c r="I4" s="1">
        <v>10000000</v>
      </c>
      <c r="K4" s="1">
        <v>9.9999999999999995E-7</v>
      </c>
    </row>
    <row r="5" spans="1:11" x14ac:dyDescent="0.25">
      <c r="A5" t="s">
        <v>2</v>
      </c>
      <c r="B5" s="1">
        <v>100000</v>
      </c>
      <c r="C5" cm="1">
        <f t="array" ref="C5">SUMPRODUCT((ABS(R_1-$I$2:$I$12)/ABS($I$2:$I$12)&lt;=0.05)*1)</f>
        <v>1</v>
      </c>
      <c r="I5" s="1">
        <v>510000</v>
      </c>
      <c r="K5" s="1">
        <v>1.0000000000000001E-9</v>
      </c>
    </row>
    <row r="6" spans="1:11" x14ac:dyDescent="0.25">
      <c r="A6" t="s">
        <v>4</v>
      </c>
      <c r="B6" s="1">
        <f>(R_1/2)*(Gain-1)</f>
        <v>10000000</v>
      </c>
      <c r="C6" cm="1">
        <f t="array" ref="C6">SUMPRODUCT((ABS(R_2-$I$2:$I$12)/ABS($I$2:$I$12)&lt;=0.05)*1)</f>
        <v>1</v>
      </c>
      <c r="I6" s="1">
        <v>1000000</v>
      </c>
      <c r="K6" s="1">
        <v>3.3000000000000002E-6</v>
      </c>
    </row>
    <row r="7" spans="1:11" x14ac:dyDescent="0.25">
      <c r="A7" t="s">
        <v>3</v>
      </c>
      <c r="B7">
        <f>C_c*R_c/(R_1+2*R_2)</f>
        <v>4.9799725614661066E-6</v>
      </c>
      <c r="C7" cm="1">
        <f t="array" ref="C7">SUMPRODUCT((ABS(C_1-$K$2:$K$19)/ABS($K$2:$K$19)&lt;=0.05)*1)</f>
        <v>0</v>
      </c>
      <c r="I7" s="1">
        <v>10000</v>
      </c>
      <c r="K7" s="1">
        <v>1.0000000000000001E-5</v>
      </c>
    </row>
    <row r="8" spans="1:11" x14ac:dyDescent="0.25">
      <c r="C8">
        <f>SUM(C2:C7)</f>
        <v>4</v>
      </c>
      <c r="I8" s="1">
        <v>100000</v>
      </c>
      <c r="K8" s="1">
        <v>2.2000000000000001E-6</v>
      </c>
    </row>
    <row r="9" spans="1:11" x14ac:dyDescent="0.25">
      <c r="I9" s="1">
        <v>1000</v>
      </c>
      <c r="K9" s="1">
        <v>9.9999999999999994E-12</v>
      </c>
    </row>
    <row r="10" spans="1:11" x14ac:dyDescent="0.25">
      <c r="A10" t="s">
        <v>11</v>
      </c>
      <c r="I10" s="1">
        <v>51000</v>
      </c>
      <c r="K10" s="1">
        <v>3.3000000000000002E-11</v>
      </c>
    </row>
    <row r="11" spans="1:11" x14ac:dyDescent="0.25">
      <c r="A11" s="3" t="s">
        <v>12</v>
      </c>
      <c r="B11" s="3">
        <v>201</v>
      </c>
      <c r="I11" s="1">
        <v>330000</v>
      </c>
      <c r="K11" s="1">
        <v>2.2000000000000002E-11</v>
      </c>
    </row>
    <row r="12" spans="1:11" x14ac:dyDescent="0.25">
      <c r="A12" t="s">
        <v>6</v>
      </c>
      <c r="B12" s="1">
        <f>I4*K7</f>
        <v>100.00000000000001</v>
      </c>
      <c r="I12" s="1">
        <v>6800</v>
      </c>
      <c r="K12" s="1">
        <v>4.6999999999999999E-11</v>
      </c>
    </row>
    <row r="13" spans="1:11" x14ac:dyDescent="0.25">
      <c r="A13" t="s">
        <v>9</v>
      </c>
      <c r="B13" s="1">
        <f>K22*(I8+2*I4)</f>
        <v>94.47</v>
      </c>
      <c r="K13" s="1">
        <v>3.3000000000000002E-11</v>
      </c>
    </row>
    <row r="14" spans="1:11" x14ac:dyDescent="0.25">
      <c r="A14" t="s">
        <v>10</v>
      </c>
      <c r="B14" s="2">
        <f>1-B13/B12</f>
        <v>5.5300000000000127E-2</v>
      </c>
      <c r="K14" s="1">
        <v>2.1999999999999999E-10</v>
      </c>
    </row>
    <row r="15" spans="1:11" x14ac:dyDescent="0.25">
      <c r="K15" s="1">
        <v>1.0000000000000001E-9</v>
      </c>
    </row>
    <row r="16" spans="1:11" x14ac:dyDescent="0.25">
      <c r="A16" s="3" t="s">
        <v>21</v>
      </c>
      <c r="B16" s="3"/>
      <c r="K16" s="1">
        <v>1E-8</v>
      </c>
    </row>
    <row r="17" spans="1:11" x14ac:dyDescent="0.25">
      <c r="A17" t="s">
        <v>6</v>
      </c>
      <c r="B17" s="1">
        <f>I4*K7</f>
        <v>100.00000000000001</v>
      </c>
      <c r="K17" s="1">
        <v>6.8000000000000003E-10</v>
      </c>
    </row>
    <row r="18" spans="1:11" x14ac:dyDescent="0.25">
      <c r="A18" t="s">
        <v>9</v>
      </c>
      <c r="B18" s="1">
        <f>K22*(I8+2*I2)</f>
        <v>64.39</v>
      </c>
      <c r="K18" s="1">
        <v>2.2000000000000001E-6</v>
      </c>
    </row>
    <row r="19" spans="1:11" x14ac:dyDescent="0.25">
      <c r="A19" t="s">
        <v>10</v>
      </c>
      <c r="B19" s="2">
        <f>1-B18/B17</f>
        <v>0.35610000000000008</v>
      </c>
      <c r="K19" s="1">
        <v>6.7999999999999998E-11</v>
      </c>
    </row>
    <row r="20" spans="1:11" x14ac:dyDescent="0.25">
      <c r="K20" s="1">
        <v>4.7E-7</v>
      </c>
    </row>
    <row r="21" spans="1:11" x14ac:dyDescent="0.25">
      <c r="A21" s="3" t="s">
        <v>12</v>
      </c>
      <c r="B21" s="3">
        <v>100</v>
      </c>
      <c r="C21" t="s">
        <v>17</v>
      </c>
      <c r="K21" s="1">
        <v>6.8000000000000001E-6</v>
      </c>
    </row>
    <row r="22" spans="1:11" x14ac:dyDescent="0.25">
      <c r="A22" t="s">
        <v>6</v>
      </c>
      <c r="B22" s="1">
        <f>$I$4*$K$2</f>
        <v>6.8</v>
      </c>
      <c r="K22" s="1">
        <v>4.6999999999999999E-6</v>
      </c>
    </row>
    <row r="23" spans="1:11" x14ac:dyDescent="0.25">
      <c r="A23" t="s">
        <v>9</v>
      </c>
      <c r="B23" s="1">
        <f>K7*(I12+2*I11)</f>
        <v>6.6680000000000001</v>
      </c>
    </row>
    <row r="24" spans="1:11" x14ac:dyDescent="0.25">
      <c r="A24" t="s">
        <v>10</v>
      </c>
      <c r="B24" s="2">
        <f>1-B23/B22</f>
        <v>1.9411764705882351E-2</v>
      </c>
    </row>
    <row r="27" spans="1:11" x14ac:dyDescent="0.25">
      <c r="A27" t="s">
        <v>16</v>
      </c>
      <c r="B27" s="1">
        <v>3.3000000000000002E-11</v>
      </c>
    </row>
    <row r="28" spans="1:11" x14ac:dyDescent="0.25">
      <c r="A28" t="s">
        <v>14</v>
      </c>
      <c r="B28" s="1">
        <v>1000000</v>
      </c>
    </row>
    <row r="29" spans="1:11" x14ac:dyDescent="0.25">
      <c r="A29" t="s">
        <v>15</v>
      </c>
      <c r="B29" s="1">
        <v>1000000</v>
      </c>
    </row>
    <row r="30" spans="1:11" x14ac:dyDescent="0.25">
      <c r="A30" t="s">
        <v>13</v>
      </c>
      <c r="B30" s="4">
        <f>(2*PI()*C_4*R_3)^(-1)</f>
        <v>4822.8770633907679</v>
      </c>
    </row>
  </sheetData>
  <conditionalFormatting sqref="B2">
    <cfRule type="expression" dxfId="4" priority="2">
      <formula>SUMPRODUCT((ABS(R_c-$I$2:$I$12)/ABS($I$2:$I$12)&lt;=0.05)*1)&gt;0</formula>
    </cfRule>
  </conditionalFormatting>
  <conditionalFormatting sqref="B3">
    <cfRule type="expression" dxfId="3" priority="5">
      <formula>SUMPRODUCT((ABS(C_c-$K$2:$K$20)/ABS($K$2:$K$20)&lt;=0.05)*1)&gt;0</formula>
    </cfRule>
  </conditionalFormatting>
  <conditionalFormatting sqref="B5">
    <cfRule type="expression" dxfId="2" priority="4">
      <formula>SUMPRODUCT((ABS(R_1-$I$2:$I$12)/ABS($I$2:$I$12)&lt;=0.05)*1)&gt;0</formula>
    </cfRule>
  </conditionalFormatting>
  <conditionalFormatting sqref="B6">
    <cfRule type="expression" dxfId="1" priority="3">
      <formula>SUMPRODUCT((ABS(R_2-$I$2:$I$12)/ABS($I$2:$I$12)&lt;=0.05)*1)&gt;0</formula>
    </cfRule>
  </conditionalFormatting>
  <conditionalFormatting sqref="B7">
    <cfRule type="expression" dxfId="0" priority="1">
      <formula>SUMPRODUCT((ABS(C_1-$K$2:$K$21)/ABS($K$2:$K$21)&lt;=0.05)*1)&gt;0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5F8B-EA8C-412D-BFD3-5A55E8DC8002}">
  <dimension ref="A1:G23"/>
  <sheetViews>
    <sheetView tabSelected="1" topLeftCell="D1" zoomScaleNormal="100" workbookViewId="0">
      <selection activeCell="P5" sqref="P5"/>
    </sheetView>
  </sheetViews>
  <sheetFormatPr defaultRowHeight="15" x14ac:dyDescent="0.25"/>
  <cols>
    <col min="2" max="2" width="12" bestFit="1" customWidth="1"/>
  </cols>
  <sheetData>
    <row r="1" spans="1:7" x14ac:dyDescent="0.25">
      <c r="B1" s="5" t="s">
        <v>20</v>
      </c>
      <c r="C1" s="5"/>
      <c r="F1" s="5" t="s">
        <v>23</v>
      </c>
      <c r="G1" s="5"/>
    </row>
    <row r="2" spans="1:7" x14ac:dyDescent="0.25">
      <c r="A2" t="s">
        <v>18</v>
      </c>
      <c r="B2" t="s">
        <v>24</v>
      </c>
      <c r="C2" t="s">
        <v>22</v>
      </c>
      <c r="D2" t="s">
        <v>26</v>
      </c>
      <c r="E2" t="s">
        <v>19</v>
      </c>
      <c r="F2" t="s">
        <v>22</v>
      </c>
      <c r="G2" t="s">
        <v>19</v>
      </c>
    </row>
    <row r="3" spans="1:7" x14ac:dyDescent="0.25">
      <c r="A3">
        <v>0.33800000000000002</v>
      </c>
      <c r="B3">
        <v>5.8</v>
      </c>
      <c r="C3">
        <f t="shared" ref="C3:C12" si="0">B3/Vin</f>
        <v>145</v>
      </c>
      <c r="D3">
        <f>20*LOG10(C3)</f>
        <v>43.227360044699495</v>
      </c>
      <c r="F3">
        <v>43</v>
      </c>
    </row>
    <row r="4" spans="1:7" x14ac:dyDescent="0.25">
      <c r="A4">
        <v>0.5</v>
      </c>
      <c r="B4">
        <v>6.59</v>
      </c>
      <c r="C4">
        <f t="shared" si="0"/>
        <v>164.75</v>
      </c>
      <c r="D4">
        <f>20*LOG10(C4)</f>
        <v>44.336508465320954</v>
      </c>
      <c r="E4">
        <v>33.799999999999997</v>
      </c>
      <c r="F4">
        <v>44.4</v>
      </c>
      <c r="G4">
        <v>33.96</v>
      </c>
    </row>
    <row r="5" spans="1:7" x14ac:dyDescent="0.25">
      <c r="A5">
        <v>1</v>
      </c>
      <c r="B5">
        <v>7.7</v>
      </c>
      <c r="C5">
        <f t="shared" si="0"/>
        <v>192.5</v>
      </c>
      <c r="D5">
        <f>20*LOG10(C5)</f>
        <v>45.688614676890388</v>
      </c>
      <c r="E5">
        <v>20.5</v>
      </c>
      <c r="F5">
        <v>45.59</v>
      </c>
      <c r="G5">
        <v>18.68</v>
      </c>
    </row>
    <row r="6" spans="1:7" x14ac:dyDescent="0.25">
      <c r="A6">
        <v>5</v>
      </c>
      <c r="B6">
        <v>8.08</v>
      </c>
      <c r="C6">
        <f t="shared" si="0"/>
        <v>202</v>
      </c>
      <c r="D6">
        <f t="shared" ref="D6:D12" si="1">20*LOG10(C6)</f>
        <v>46.10702738893248</v>
      </c>
      <c r="E6">
        <v>3.7</v>
      </c>
      <c r="F6">
        <v>46.04</v>
      </c>
      <c r="G6">
        <v>3.8</v>
      </c>
    </row>
    <row r="7" spans="1:7" x14ac:dyDescent="0.25">
      <c r="A7">
        <v>10</v>
      </c>
      <c r="B7">
        <v>8.0399999999999991</v>
      </c>
      <c r="C7">
        <f t="shared" si="0"/>
        <v>200.99999999999997</v>
      </c>
      <c r="D7">
        <f t="shared" si="1"/>
        <v>46.063921148409776</v>
      </c>
      <c r="E7">
        <v>1.7</v>
      </c>
      <c r="F7">
        <v>46.05</v>
      </c>
      <c r="G7">
        <v>1.83</v>
      </c>
    </row>
    <row r="8" spans="1:7" x14ac:dyDescent="0.25">
      <c r="A8">
        <v>50</v>
      </c>
      <c r="B8">
        <v>8.0399999999999991</v>
      </c>
      <c r="C8">
        <f t="shared" si="0"/>
        <v>200.99999999999997</v>
      </c>
      <c r="D8">
        <f t="shared" si="1"/>
        <v>46.063921148409776</v>
      </c>
      <c r="E8">
        <v>-0.3</v>
      </c>
      <c r="F8">
        <v>46.06</v>
      </c>
      <c r="G8">
        <v>-0.27</v>
      </c>
    </row>
    <row r="9" spans="1:7" x14ac:dyDescent="0.25">
      <c r="A9">
        <v>100</v>
      </c>
      <c r="B9">
        <v>8.06</v>
      </c>
      <c r="C9">
        <f t="shared" si="0"/>
        <v>201.5</v>
      </c>
      <c r="D9">
        <f t="shared" si="1"/>
        <v>46.085501009542568</v>
      </c>
      <c r="E9">
        <v>0.6</v>
      </c>
      <c r="F9">
        <v>46.06</v>
      </c>
      <c r="G9">
        <v>-1.1299999999999999</v>
      </c>
    </row>
    <row r="10" spans="1:7" x14ac:dyDescent="0.25">
      <c r="A10">
        <v>150</v>
      </c>
      <c r="B10">
        <v>8.0299999999999994</v>
      </c>
      <c r="C10">
        <f t="shared" si="0"/>
        <v>200.74999999999997</v>
      </c>
      <c r="D10">
        <f t="shared" si="1"/>
        <v>46.053111079014364</v>
      </c>
      <c r="E10">
        <v>-1</v>
      </c>
      <c r="F10">
        <v>46.05</v>
      </c>
      <c r="G10">
        <v>-1.86</v>
      </c>
    </row>
    <row r="11" spans="1:7" x14ac:dyDescent="0.25">
      <c r="A11">
        <v>1000</v>
      </c>
      <c r="B11">
        <v>7.88</v>
      </c>
      <c r="C11">
        <f t="shared" si="0"/>
        <v>197</v>
      </c>
      <c r="D11">
        <f t="shared" si="1"/>
        <v>45.889324523231856</v>
      </c>
      <c r="E11">
        <v>-14</v>
      </c>
      <c r="F11">
        <v>45.87</v>
      </c>
      <c r="G11">
        <v>-13</v>
      </c>
    </row>
    <row r="12" spans="1:7" x14ac:dyDescent="0.25">
      <c r="A12">
        <v>4822</v>
      </c>
      <c r="B12">
        <v>5.5</v>
      </c>
      <c r="C12">
        <f t="shared" si="0"/>
        <v>137.5</v>
      </c>
      <c r="D12">
        <f t="shared" si="1"/>
        <v>42.766053963325632</v>
      </c>
      <c r="E12">
        <v>-48</v>
      </c>
      <c r="F12">
        <v>43</v>
      </c>
      <c r="G12">
        <v>-51.6</v>
      </c>
    </row>
    <row r="16" spans="1:7" x14ac:dyDescent="0.25">
      <c r="A16" t="s">
        <v>25</v>
      </c>
      <c r="B16">
        <v>0.04</v>
      </c>
    </row>
    <row r="18" spans="1:4" x14ac:dyDescent="0.25">
      <c r="A18" t="s">
        <v>27</v>
      </c>
      <c r="B18" t="s">
        <v>28</v>
      </c>
    </row>
    <row r="19" spans="1:4" x14ac:dyDescent="0.25">
      <c r="A19">
        <v>0.5</v>
      </c>
      <c r="C19" t="e">
        <f t="shared" ref="C19:C20" si="2">B7/B19</f>
        <v>#DIV/0!</v>
      </c>
      <c r="D19" t="e">
        <f t="shared" ref="D19:D20" si="3">20*LOG10(C19)</f>
        <v>#DIV/0!</v>
      </c>
    </row>
    <row r="20" spans="1:4" x14ac:dyDescent="0.25">
      <c r="A20">
        <v>10</v>
      </c>
      <c r="C20" t="e">
        <f t="shared" si="2"/>
        <v>#DIV/0!</v>
      </c>
      <c r="D20" t="e">
        <f t="shared" si="3"/>
        <v>#DIV/0!</v>
      </c>
    </row>
    <row r="21" spans="1:4" x14ac:dyDescent="0.25">
      <c r="A21">
        <v>50</v>
      </c>
      <c r="B21">
        <v>5.7000000000000002E-3</v>
      </c>
      <c r="C21">
        <f>B8/B21</f>
        <v>1410.5263157894735</v>
      </c>
      <c r="D21">
        <f>20*LOG10(C21)</f>
        <v>62.987623861519197</v>
      </c>
    </row>
    <row r="22" spans="1:4" x14ac:dyDescent="0.25">
      <c r="A22">
        <v>100</v>
      </c>
      <c r="B22">
        <v>2.5999999999999999E-3</v>
      </c>
      <c r="C22">
        <f>B9/B22</f>
        <v>3100.0000000000005</v>
      </c>
      <c r="D22">
        <f>20*LOG10(C22)</f>
        <v>69.827233876685455</v>
      </c>
    </row>
    <row r="23" spans="1:4" x14ac:dyDescent="0.25">
      <c r="A23">
        <v>150</v>
      </c>
      <c r="B23">
        <v>2.5999999999999999E-3</v>
      </c>
      <c r="C23">
        <f>B10/B23</f>
        <v>3088.4615384615386</v>
      </c>
      <c r="D23">
        <f>20*LOG10(C23)</f>
        <v>69.794843946157258</v>
      </c>
    </row>
  </sheetData>
  <mergeCells count="2">
    <mergeCell ref="B1:C1"/>
    <mergeCell ref="F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3796-AAA1-4FCD-B233-5B5106DBF20C}">
  <dimension ref="A1:E22"/>
  <sheetViews>
    <sheetView zoomScale="115" zoomScaleNormal="115" workbookViewId="0">
      <selection activeCell="Q12" sqref="Q12"/>
    </sheetView>
  </sheetViews>
  <sheetFormatPr defaultRowHeight="15" x14ac:dyDescent="0.25"/>
  <cols>
    <col min="1" max="1" width="17.28515625" bestFit="1" customWidth="1"/>
    <col min="2" max="2" width="14.140625" bestFit="1" customWidth="1"/>
    <col min="3" max="3" width="9.7109375" bestFit="1" customWidth="1"/>
    <col min="4" max="4" width="19.7109375" bestFit="1" customWidth="1"/>
  </cols>
  <sheetData>
    <row r="1" spans="1:5" x14ac:dyDescent="0.25">
      <c r="A1" t="s">
        <v>31</v>
      </c>
      <c r="B1">
        <v>100</v>
      </c>
    </row>
    <row r="2" spans="1:5" x14ac:dyDescent="0.25">
      <c r="A2" t="s">
        <v>32</v>
      </c>
      <c r="B2" s="1">
        <v>8.9999999999999993E-3</v>
      </c>
    </row>
    <row r="3" spans="1:5" x14ac:dyDescent="0.25">
      <c r="A3" t="s">
        <v>22</v>
      </c>
      <c r="B3">
        <v>201</v>
      </c>
    </row>
    <row r="4" spans="1:5" x14ac:dyDescent="0.25">
      <c r="A4" t="s">
        <v>29</v>
      </c>
      <c r="B4" t="s">
        <v>30</v>
      </c>
      <c r="C4" t="s">
        <v>27</v>
      </c>
      <c r="D4" t="s">
        <v>43</v>
      </c>
      <c r="E4" t="s">
        <v>33</v>
      </c>
    </row>
    <row r="5" spans="1:5" x14ac:dyDescent="0.25">
      <c r="A5">
        <v>5</v>
      </c>
      <c r="B5">
        <v>0.107</v>
      </c>
      <c r="C5">
        <f t="shared" ref="C5:C16" si="0">20*LOG10(CMRRGain/(B5/A5))</f>
        <v>79.455645681425963</v>
      </c>
      <c r="D5">
        <f t="shared" ref="D5:D16" si="1">20*LOG10(CMRRGain/((B5-CMRRNoise)/A5))</f>
        <v>80.218799721280263</v>
      </c>
      <c r="E5" t="s">
        <v>34</v>
      </c>
    </row>
    <row r="6" spans="1:5" x14ac:dyDescent="0.25">
      <c r="A6">
        <v>2.5</v>
      </c>
      <c r="B6">
        <v>5.7000000000000002E-2</v>
      </c>
      <c r="C6">
        <f t="shared" si="0"/>
        <v>78.905224208400696</v>
      </c>
      <c r="D6">
        <f t="shared" si="1"/>
        <v>80.397896574338787</v>
      </c>
      <c r="E6" t="s">
        <v>35</v>
      </c>
    </row>
    <row r="7" spans="1:5" x14ac:dyDescent="0.25">
      <c r="A7">
        <v>1</v>
      </c>
      <c r="B7">
        <v>2.8000000000000001E-2</v>
      </c>
      <c r="C7">
        <f t="shared" si="0"/>
        <v>77.120760521565387</v>
      </c>
      <c r="D7">
        <f t="shared" si="1"/>
        <v>80.488849129353198</v>
      </c>
      <c r="E7" t="s">
        <v>36</v>
      </c>
    </row>
    <row r="8" spans="1:5" x14ac:dyDescent="0.25">
      <c r="A8">
        <v>0.5</v>
      </c>
      <c r="B8">
        <v>1.9E-2</v>
      </c>
      <c r="C8">
        <f t="shared" si="0"/>
        <v>74.468249216073573</v>
      </c>
      <c r="D8">
        <f t="shared" si="1"/>
        <v>80.043321235130151</v>
      </c>
      <c r="E8" t="s">
        <v>37</v>
      </c>
    </row>
    <row r="9" spans="1:5" x14ac:dyDescent="0.25">
      <c r="A9">
        <v>0.1</v>
      </c>
      <c r="B9">
        <v>1.2E-2</v>
      </c>
      <c r="C9">
        <f t="shared" si="0"/>
        <v>64.480296227457274</v>
      </c>
      <c r="D9">
        <f t="shared" si="1"/>
        <v>76.521496054016524</v>
      </c>
      <c r="E9" t="s">
        <v>38</v>
      </c>
    </row>
    <row r="10" spans="1:5" x14ac:dyDescent="0.25">
      <c r="A10">
        <v>0.05</v>
      </c>
      <c r="B10">
        <v>0.01</v>
      </c>
      <c r="C10">
        <f t="shared" si="0"/>
        <v>60.043321235130158</v>
      </c>
      <c r="D10">
        <f>20*LOG10(CMRRGain/((B10-CMRRNoise)/A10))</f>
        <v>80.043321235130151</v>
      </c>
      <c r="E10" t="s">
        <v>39</v>
      </c>
    </row>
    <row r="11" spans="1:5" x14ac:dyDescent="0.25">
      <c r="A11">
        <v>0.02</v>
      </c>
      <c r="B11">
        <v>0.01</v>
      </c>
      <c r="C11">
        <f t="shared" si="0"/>
        <v>52.084521061689401</v>
      </c>
      <c r="D11">
        <f t="shared" si="1"/>
        <v>72.084521061689401</v>
      </c>
      <c r="E11" t="s">
        <v>40</v>
      </c>
    </row>
    <row r="12" spans="1:5" x14ac:dyDescent="0.25">
      <c r="C12" t="e">
        <f t="shared" si="0"/>
        <v>#DIV/0!</v>
      </c>
      <c r="D12" t="e">
        <f t="shared" si="1"/>
        <v>#DIV/0!</v>
      </c>
    </row>
    <row r="13" spans="1:5" x14ac:dyDescent="0.25">
      <c r="C13" t="e">
        <f t="shared" si="0"/>
        <v>#DIV/0!</v>
      </c>
      <c r="D13" t="e">
        <f t="shared" si="1"/>
        <v>#DIV/0!</v>
      </c>
    </row>
    <row r="14" spans="1:5" x14ac:dyDescent="0.25">
      <c r="C14" t="e">
        <f t="shared" si="0"/>
        <v>#DIV/0!</v>
      </c>
      <c r="D14" t="e">
        <f t="shared" si="1"/>
        <v>#DIV/0!</v>
      </c>
    </row>
    <row r="15" spans="1:5" x14ac:dyDescent="0.25">
      <c r="C15" t="e">
        <f t="shared" si="0"/>
        <v>#DIV/0!</v>
      </c>
      <c r="D15" t="e">
        <f t="shared" si="1"/>
        <v>#DIV/0!</v>
      </c>
    </row>
    <row r="16" spans="1:5" x14ac:dyDescent="0.25">
      <c r="C16" t="e">
        <f t="shared" si="0"/>
        <v>#DIV/0!</v>
      </c>
      <c r="D16" t="e">
        <f t="shared" si="1"/>
        <v>#DIV/0!</v>
      </c>
    </row>
    <row r="22" spans="2:3" x14ac:dyDescent="0.25">
      <c r="B22" t="s">
        <v>41</v>
      </c>
      <c r="C22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Value Finder</vt:lpstr>
      <vt:lpstr>Results</vt:lpstr>
      <vt:lpstr>CMRR</vt:lpstr>
      <vt:lpstr>C_1</vt:lpstr>
      <vt:lpstr>C_4</vt:lpstr>
      <vt:lpstr>C_c</vt:lpstr>
      <vt:lpstr>Cap_4</vt:lpstr>
      <vt:lpstr>Cc</vt:lpstr>
      <vt:lpstr>CMRRFreq</vt:lpstr>
      <vt:lpstr>CMRRGain</vt:lpstr>
      <vt:lpstr>CMRRNoise</vt:lpstr>
      <vt:lpstr>F_Lo</vt:lpstr>
      <vt:lpstr>Gain</vt:lpstr>
      <vt:lpstr>Lo</vt:lpstr>
      <vt:lpstr>R_1</vt:lpstr>
      <vt:lpstr>R_2</vt:lpstr>
      <vt:lpstr>R_3</vt:lpstr>
      <vt:lpstr>R_4</vt:lpstr>
      <vt:lpstr>R_c</vt:lpstr>
      <vt:lpstr>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Gillanders, Breandán</cp:lastModifiedBy>
  <dcterms:created xsi:type="dcterms:W3CDTF">2025-11-03T10:29:49Z</dcterms:created>
  <dcterms:modified xsi:type="dcterms:W3CDTF">2025-11-25T18:41:43Z</dcterms:modified>
</cp:coreProperties>
</file>