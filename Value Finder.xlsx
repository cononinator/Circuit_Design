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or\Documents\College\Masters\Circuit_Design\"/>
    </mc:Choice>
  </mc:AlternateContent>
  <xr:revisionPtr revIDLastSave="0" documentId="13_ncr:1_{7107D76A-B275-4B4A-BF3C-C994AD4E709B}" xr6:coauthVersionLast="47" xr6:coauthVersionMax="47" xr10:uidLastSave="{00000000-0000-0000-0000-000000000000}"/>
  <bookViews>
    <workbookView xWindow="-120" yWindow="-16320" windowWidth="29040" windowHeight="15720" xr2:uid="{44192CF1-4E54-4094-A156-12815939296E}"/>
  </bookViews>
  <sheets>
    <sheet name="Sheet1" sheetId="1" r:id="rId1"/>
  </sheets>
  <definedNames>
    <definedName name="C_1">Sheet1!$B$7</definedName>
    <definedName name="C_4">Sheet1!$B$27</definedName>
    <definedName name="C_c">Sheet1!$B$3</definedName>
    <definedName name="Cap_4">Sheet1!$B$27</definedName>
    <definedName name="Cc">Sheet1!$B$3</definedName>
    <definedName name="F_Lo">Sheet1!$B$1</definedName>
    <definedName name="Gain">Sheet1!$B$4</definedName>
    <definedName name="Lo">Sheet1!$B$1</definedName>
    <definedName name="R_1">Sheet1!$B$5</definedName>
    <definedName name="R_2">Sheet1!$B$6</definedName>
    <definedName name="R_3">Sheet1!$B$28</definedName>
    <definedName name="R_4">Sheet1!$B$29</definedName>
    <definedName name="R_c">Sheet1!$B$2</definedName>
    <definedName name="solver_adj" localSheetId="0" hidden="1">Sheet1!$B$1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Sheet1!$B$1</definedName>
    <definedName name="solver_lhs2" localSheetId="0" hidden="1">Sheet1!$B$1</definedName>
    <definedName name="solver_lhs3" localSheetId="0" hidden="1">Sheet1!$B$4</definedName>
    <definedName name="solver_lhs4" localSheetId="0" hidden="1">Sheet1!$B$4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4</definedName>
    <definedName name="solver_nwt" localSheetId="0" hidden="1">1</definedName>
    <definedName name="solver_opt" localSheetId="0" hidden="1">Sheet1!$C$3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3</definedName>
    <definedName name="solver_rel3" localSheetId="0" hidden="1">1</definedName>
    <definedName name="solver_rel4" localSheetId="0" hidden="1">3</definedName>
    <definedName name="solver_rhs1" localSheetId="0" hidden="1">0.1</definedName>
    <definedName name="solver_rhs2" localSheetId="0" hidden="1">0.02</definedName>
    <definedName name="solver_rhs3" localSheetId="0" hidden="1">200</definedName>
    <definedName name="solver_rhs4" localSheetId="0" hidden="1">100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0.00000068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12" i="1"/>
  <c r="B30" i="1" l="1"/>
  <c r="B6" i="1"/>
  <c r="B23" i="1"/>
  <c r="B22" i="1"/>
  <c r="B24" i="1" l="1"/>
  <c r="B18" i="1"/>
  <c r="B17" i="1"/>
  <c r="B14" i="1"/>
  <c r="C2" i="1" a="1"/>
  <c r="C2" i="1" s="1"/>
  <c r="C5" i="1" a="1"/>
  <c r="C5" i="1" s="1"/>
  <c r="C6" i="1" a="1"/>
  <c r="C6" i="1" s="1"/>
  <c r="B3" i="1"/>
  <c r="C3" i="1" s="1" a="1"/>
  <c r="C3" i="1" s="1"/>
  <c r="B19" i="1" l="1"/>
  <c r="B7" i="1"/>
  <c r="C7" i="1" s="1" a="1"/>
  <c r="C7" i="1" s="1"/>
  <c r="C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<sst xmlns="http://schemas.openxmlformats.org/spreadsheetml/2006/main" count="26" uniqueCount="17">
  <si>
    <t>Rc</t>
  </si>
  <si>
    <t>Cc</t>
  </si>
  <si>
    <t>R1</t>
  </si>
  <si>
    <t>C1</t>
  </si>
  <si>
    <t>R2</t>
  </si>
  <si>
    <t>G</t>
  </si>
  <si>
    <t>Input Cutoff</t>
  </si>
  <si>
    <t>Resistors</t>
  </si>
  <si>
    <t>Capacitors</t>
  </si>
  <si>
    <t>OpAmp Cutoff</t>
  </si>
  <si>
    <t>Difference</t>
  </si>
  <si>
    <t xml:space="preserve">Actual Results </t>
  </si>
  <si>
    <t>Av</t>
  </si>
  <si>
    <t>Output Cutoff</t>
  </si>
  <si>
    <t>R3</t>
  </si>
  <si>
    <t>R4</t>
  </si>
  <si>
    <t>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</si>
</sst>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1" fontId="0" fillId="0" borderId="0" xfId="0" applyNumberFormat="1"/>
    <xf numFmtId="10" fontId="0" fillId="0" borderId="0" xfId="1" applyNumberFormat="1" applyFont="1"/>
    <xf numFmtId="0" fontId="2" fillId="0" borderId="0" xfId="0" applyFont="1"/>
    <xf numFmtId="2" fontId="0" fillId="0" borderId="0" xfId="0" applyNumberFormat="1"/>
  </cellXfs>
  <cellStyles count="2">
    <cellStyle name="Normal" xfId="0" builtinId="0"/>
    <cellStyle name="Percent" xfId="1" builtinId="5"/>
  </cellStyles>
  <dxfs count="5"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266700</xdr:colOff>
      <xdr:row>0</xdr:row>
      <xdr:rowOff>61912</xdr:rowOff>
    </xdr:from>
    <xdr:ext cx="928908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F0BB618-1B25-3A40-1028-716393C138F7}"/>
                </a:ext>
              </a:extLst>
            </xdr:cNvPr>
            <xdr:cNvSpPr txBox="1"/>
          </xdr:nvSpPr>
          <xdr:spPr>
            <a:xfrm>
              <a:off x="2286000" y="61912"/>
              <a:ext cx="928908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en-IE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2.</m:t>
                        </m:r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𝜋</m:t>
                        </m:r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.</m:t>
                        </m:r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sub>
                        </m:s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.</m:t>
                        </m:r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IE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F0BB618-1B25-3A40-1028-716393C138F7}"/>
                </a:ext>
              </a:extLst>
            </xdr:cNvPr>
            <xdr:cNvSpPr txBox="1"/>
          </xdr:nvSpPr>
          <xdr:spPr>
            <a:xfrm>
              <a:off x="2286000" y="61912"/>
              <a:ext cx="928908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E" sz="1100" b="0" i="0">
                  <a:latin typeface="Cambria Math" panose="02040503050406030204" pitchFamily="18" charset="0"/>
                </a:rPr>
                <a:t>𝑓_𝑐=1/(2.𝜋.𝑅_𝑐.𝐶_𝑐 )</a:t>
              </a:r>
              <a:endParaRPr lang="en-IE" sz="1100"/>
            </a:p>
          </xdr:txBody>
        </xdr:sp>
      </mc:Fallback>
    </mc:AlternateContent>
    <xdr:clientData/>
  </xdr:oneCellAnchor>
  <xdr:oneCellAnchor>
    <xdr:from>
      <xdr:col>3</xdr:col>
      <xdr:colOff>266700</xdr:colOff>
      <xdr:row>2</xdr:row>
      <xdr:rowOff>147637</xdr:rowOff>
    </xdr:from>
    <xdr:ext cx="853887" cy="3456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DB86CD1-0C40-4EB2-E76C-2998BAA9C645}"/>
                </a:ext>
              </a:extLst>
            </xdr:cNvPr>
            <xdr:cNvSpPr txBox="1"/>
          </xdr:nvSpPr>
          <xdr:spPr>
            <a:xfrm>
              <a:off x="2286000" y="528637"/>
              <a:ext cx="853887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IE" sz="1100" b="0" i="1">
                        <a:latin typeface="Cambria Math" panose="02040503050406030204" pitchFamily="18" charset="0"/>
                      </a:rPr>
                      <m:t>𝐺</m:t>
                    </m:r>
                    <m:r>
                      <a:rPr lang="en-IE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+2</m:t>
                        </m:r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IE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DB86CD1-0C40-4EB2-E76C-2998BAA9C645}"/>
                </a:ext>
              </a:extLst>
            </xdr:cNvPr>
            <xdr:cNvSpPr txBox="1"/>
          </xdr:nvSpPr>
          <xdr:spPr>
            <a:xfrm>
              <a:off x="2286000" y="528637"/>
              <a:ext cx="853887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E" sz="1100" b="0" i="0">
                  <a:latin typeface="Cambria Math" panose="02040503050406030204" pitchFamily="18" charset="0"/>
                </a:rPr>
                <a:t>𝐺=(𝑅_1+2𝑅_2)/𝑅_1 </a:t>
              </a:r>
              <a:endParaRPr lang="en-IE" sz="1100"/>
            </a:p>
          </xdr:txBody>
        </xdr:sp>
      </mc:Fallback>
    </mc:AlternateContent>
    <xdr:clientData/>
  </xdr:oneCellAnchor>
  <xdr:oneCellAnchor>
    <xdr:from>
      <xdr:col>3</xdr:col>
      <xdr:colOff>257175</xdr:colOff>
      <xdr:row>5</xdr:row>
      <xdr:rowOff>42862</xdr:rowOff>
    </xdr:from>
    <xdr:ext cx="1351972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4473851-9B8A-349E-7E31-58293F99745D}"/>
                </a:ext>
              </a:extLst>
            </xdr:cNvPr>
            <xdr:cNvSpPr txBox="1"/>
          </xdr:nvSpPr>
          <xdr:spPr>
            <a:xfrm>
              <a:off x="2276475" y="995362"/>
              <a:ext cx="13519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en-IE" sz="1100" b="0" i="1">
                        <a:latin typeface="Cambria Math" panose="02040503050406030204" pitchFamily="18" charset="0"/>
                      </a:rPr>
                      <m:t>.</m:t>
                    </m:r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en-IE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d>
                      <m:d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+2</m:t>
                        </m:r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IE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4473851-9B8A-349E-7E31-58293F99745D}"/>
                </a:ext>
              </a:extLst>
            </xdr:cNvPr>
            <xdr:cNvSpPr txBox="1"/>
          </xdr:nvSpPr>
          <xdr:spPr>
            <a:xfrm>
              <a:off x="2276475" y="995362"/>
              <a:ext cx="13519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E" sz="1100" b="0" i="0">
                  <a:latin typeface="Cambria Math" panose="02040503050406030204" pitchFamily="18" charset="0"/>
                </a:rPr>
                <a:t>𝐶_𝑐.𝑅_𝑐=𝐶_1 (𝑅_1+2𝑅_2 )</a:t>
              </a:r>
              <a:endParaRPr lang="en-IE" sz="1100"/>
            </a:p>
          </xdr:txBody>
        </xdr:sp>
      </mc:Fallback>
    </mc:AlternateContent>
    <xdr:clientData/>
  </xdr:oneCellAnchor>
  <xdr:oneCellAnchor>
    <xdr:from>
      <xdr:col>5</xdr:col>
      <xdr:colOff>171450</xdr:colOff>
      <xdr:row>2</xdr:row>
      <xdr:rowOff>109537</xdr:rowOff>
    </xdr:from>
    <xdr:ext cx="99450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ADCEBE1-CCD0-0FEE-419D-666B1AC4D951}"/>
                </a:ext>
              </a:extLst>
            </xdr:cNvPr>
            <xdr:cNvSpPr txBox="1"/>
          </xdr:nvSpPr>
          <xdr:spPr>
            <a:xfrm>
              <a:off x="3409950" y="490537"/>
              <a:ext cx="99450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n-IE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num>
                      <m:den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𝐺</m:t>
                        </m:r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IE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ADCEBE1-CCD0-0FEE-419D-666B1AC4D951}"/>
                </a:ext>
              </a:extLst>
            </xdr:cNvPr>
            <xdr:cNvSpPr txBox="1"/>
          </xdr:nvSpPr>
          <xdr:spPr>
            <a:xfrm>
              <a:off x="3409950" y="490537"/>
              <a:ext cx="99450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E" sz="1100" b="0" i="0">
                  <a:latin typeface="Cambria Math" panose="02040503050406030204" pitchFamily="18" charset="0"/>
                </a:rPr>
                <a:t>𝑅_2=𝑅_1/2 (𝐺−1)</a:t>
              </a:r>
              <a:endParaRPr lang="en-IE" sz="1100"/>
            </a:p>
          </xdr:txBody>
        </xdr:sp>
      </mc:Fallback>
    </mc:AlternateContent>
    <xdr:clientData/>
  </xdr:oneCellAnchor>
  <xdr:twoCellAnchor editAs="oneCell">
    <xdr:from>
      <xdr:col>2</xdr:col>
      <xdr:colOff>315311</xdr:colOff>
      <xdr:row>8</xdr:row>
      <xdr:rowOff>144517</xdr:rowOff>
    </xdr:from>
    <xdr:to>
      <xdr:col>5</xdr:col>
      <xdr:colOff>352934</xdr:colOff>
      <xdr:row>14</xdr:row>
      <xdr:rowOff>124810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D0DD983-21E7-C103-71EE-20ABAD932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61897" y="1668517"/>
          <a:ext cx="1870364" cy="1123293"/>
        </a:xfrm>
        <a:prstGeom prst="rect">
          <a:avLst/>
        </a:prstGeom>
      </xdr:spPr>
    </xdr:pic>
    <xdr:clientData/>
  </xdr:twoCellAnchor>
  <xdr:twoCellAnchor editAs="oneCell">
    <xdr:from>
      <xdr:col>2</xdr:col>
      <xdr:colOff>243054</xdr:colOff>
      <xdr:row>19</xdr:row>
      <xdr:rowOff>46555</xdr:rowOff>
    </xdr:from>
    <xdr:to>
      <xdr:col>5</xdr:col>
      <xdr:colOff>32846</xdr:colOff>
      <xdr:row>24</xdr:row>
      <xdr:rowOff>72211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BBFBBA9-1A47-0DA2-8580-C066E8719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89640" y="3666055"/>
          <a:ext cx="1622533" cy="978156"/>
        </a:xfrm>
        <a:prstGeom prst="rect">
          <a:avLst/>
        </a:prstGeom>
      </xdr:spPr>
    </xdr:pic>
    <xdr:clientData/>
  </xdr:twoCellAnchor>
  <xdr:twoCellAnchor editAs="oneCell">
    <xdr:from>
      <xdr:col>13</xdr:col>
      <xdr:colOff>157655</xdr:colOff>
      <xdr:row>0</xdr:row>
      <xdr:rowOff>183931</xdr:rowOff>
    </xdr:from>
    <xdr:to>
      <xdr:col>22</xdr:col>
      <xdr:colOff>346650</xdr:colOff>
      <xdr:row>5</xdr:row>
      <xdr:rowOff>60222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7477015-DCB6-2014-A256-CD3CD146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446172" y="183931"/>
          <a:ext cx="5687219" cy="828791"/>
        </a:xfrm>
        <a:prstGeom prst="rect">
          <a:avLst/>
        </a:prstGeom>
      </xdr:spPr>
    </xdr:pic>
    <xdr:clientData/>
  </xdr:twoCellAnchor>
  <xdr:twoCellAnchor editAs="oneCell">
    <xdr:from>
      <xdr:col>13</xdr:col>
      <xdr:colOff>197069</xdr:colOff>
      <xdr:row>5</xdr:row>
      <xdr:rowOff>131379</xdr:rowOff>
    </xdr:from>
    <xdr:to>
      <xdr:col>22</xdr:col>
      <xdr:colOff>281274</xdr:colOff>
      <xdr:row>8</xdr:row>
      <xdr:rowOff>83827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CB797B-1176-5BC8-82C2-98020CDAC8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485586" y="1083879"/>
          <a:ext cx="5582429" cy="5239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7E90A-6DC5-4F91-AD8A-EC7669570140}">
  <dimension ref="A1:K30"/>
  <sheetViews>
    <sheetView tabSelected="1" zoomScale="145" zoomScaleNormal="145" workbookViewId="0">
      <selection activeCell="H15" sqref="H15"/>
    </sheetView>
  </sheetViews>
  <sheetFormatPr defaultRowHeight="15" x14ac:dyDescent="0.25"/>
  <cols>
    <col min="1" max="1" width="21.7109375" bestFit="1" customWidth="1"/>
    <col min="2" max="2" width="15.7109375" customWidth="1"/>
    <col min="11" max="11" width="10.28515625" bestFit="1" customWidth="1"/>
  </cols>
  <sheetData>
    <row r="1" spans="1:11" x14ac:dyDescent="0.25">
      <c r="A1" t="s">
        <v>6</v>
      </c>
      <c r="B1">
        <v>1.5900000000000001E-3</v>
      </c>
      <c r="I1" t="s">
        <v>7</v>
      </c>
      <c r="K1" t="s">
        <v>8</v>
      </c>
    </row>
    <row r="2" spans="1:11" x14ac:dyDescent="0.25">
      <c r="A2" t="s">
        <v>0</v>
      </c>
      <c r="B2" s="1">
        <v>10000000</v>
      </c>
      <c r="C2" cm="1">
        <f t="array" ref="C2">SUMPRODUCT((ABS(R_c-$I$2:$I$12)/ABS($I$2:$I$12)&lt;=0.05)*1)</f>
        <v>1</v>
      </c>
      <c r="I2" s="1">
        <v>6800000</v>
      </c>
      <c r="K2" s="1">
        <v>6.7999999999999995E-7</v>
      </c>
    </row>
    <row r="3" spans="1:11" x14ac:dyDescent="0.25">
      <c r="A3" t="s">
        <v>1</v>
      </c>
      <c r="B3">
        <f>1/(2*PI()*R_c*F_Lo)</f>
        <v>1.0009744848546875E-5</v>
      </c>
      <c r="C3" cm="1">
        <f t="array" ref="C3">SUMPRODUCT((ABS(C_c-$K$2:$K$19)/ABS($K$2:$K$19)&lt;=0.05)*1)</f>
        <v>1</v>
      </c>
      <c r="I3" s="1">
        <v>680000</v>
      </c>
      <c r="K3" s="1">
        <v>3.3000000000000002E-7</v>
      </c>
    </row>
    <row r="4" spans="1:11" x14ac:dyDescent="0.25">
      <c r="A4" t="s">
        <v>5</v>
      </c>
      <c r="B4">
        <v>201</v>
      </c>
      <c r="I4" s="1">
        <v>10000000</v>
      </c>
      <c r="K4" s="1">
        <v>9.9999999999999995E-7</v>
      </c>
    </row>
    <row r="5" spans="1:11" x14ac:dyDescent="0.25">
      <c r="A5" t="s">
        <v>2</v>
      </c>
      <c r="B5" s="1">
        <v>100000</v>
      </c>
      <c r="C5" cm="1">
        <f t="array" ref="C5">SUMPRODUCT((ABS(R_1-$I$2:$I$12)/ABS($I$2:$I$12)&lt;=0.05)*1)</f>
        <v>1</v>
      </c>
      <c r="I5" s="1">
        <v>510000</v>
      </c>
      <c r="K5" s="1">
        <v>1.0000000000000001E-9</v>
      </c>
    </row>
    <row r="6" spans="1:11" x14ac:dyDescent="0.25">
      <c r="A6" t="s">
        <v>4</v>
      </c>
      <c r="B6" s="1">
        <f>(R_1/2)*(Gain-1)</f>
        <v>10000000</v>
      </c>
      <c r="C6" cm="1">
        <f t="array" ref="C6">SUMPRODUCT((ABS(R_2-$I$2:$I$12)/ABS($I$2:$I$12)&lt;=0.05)*1)</f>
        <v>1</v>
      </c>
      <c r="I6" s="1">
        <v>1000000</v>
      </c>
      <c r="K6" s="1">
        <v>3.3000000000000002E-6</v>
      </c>
    </row>
    <row r="7" spans="1:11" x14ac:dyDescent="0.25">
      <c r="A7" t="s">
        <v>3</v>
      </c>
      <c r="B7">
        <f>C_c*R_c/(R_1+2*R_2)</f>
        <v>4.9799725614661066E-6</v>
      </c>
      <c r="C7" cm="1">
        <f t="array" ref="C7">SUMPRODUCT((ABS(C_1-$K$2:$K$19)/ABS($K$2:$K$19)&lt;=0.05)*1)</f>
        <v>0</v>
      </c>
      <c r="I7" s="1">
        <v>10000</v>
      </c>
      <c r="K7" s="1">
        <v>1.0000000000000001E-5</v>
      </c>
    </row>
    <row r="8" spans="1:11" x14ac:dyDescent="0.25">
      <c r="C8">
        <f>SUM(C2:C7)</f>
        <v>4</v>
      </c>
      <c r="I8" s="1">
        <v>100000</v>
      </c>
      <c r="K8" s="1">
        <v>2.2000000000000001E-6</v>
      </c>
    </row>
    <row r="9" spans="1:11" x14ac:dyDescent="0.25">
      <c r="I9" s="1">
        <v>1000</v>
      </c>
      <c r="K9" s="1">
        <v>9.9999999999999994E-12</v>
      </c>
    </row>
    <row r="10" spans="1:11" x14ac:dyDescent="0.25">
      <c r="A10" t="s">
        <v>11</v>
      </c>
      <c r="I10" s="1">
        <v>51000</v>
      </c>
      <c r="K10" s="1">
        <v>3.3000000000000002E-11</v>
      </c>
    </row>
    <row r="11" spans="1:11" x14ac:dyDescent="0.25">
      <c r="A11" s="3" t="s">
        <v>12</v>
      </c>
      <c r="B11" s="3">
        <v>201</v>
      </c>
      <c r="I11" s="1">
        <v>330000</v>
      </c>
      <c r="K11" s="1">
        <v>2.2000000000000002E-11</v>
      </c>
    </row>
    <row r="12" spans="1:11" x14ac:dyDescent="0.25">
      <c r="A12" t="s">
        <v>6</v>
      </c>
      <c r="B12" s="1">
        <f>I4*K2</f>
        <v>6.8</v>
      </c>
      <c r="I12" s="1">
        <v>6800</v>
      </c>
      <c r="K12" s="1">
        <v>4.6999999999999999E-11</v>
      </c>
    </row>
    <row r="13" spans="1:11" x14ac:dyDescent="0.25">
      <c r="A13" t="s">
        <v>9</v>
      </c>
      <c r="B13" s="1">
        <f>K3*(I8+2*I4)</f>
        <v>6.633</v>
      </c>
      <c r="K13" s="1">
        <v>3.3000000000000002E-11</v>
      </c>
    </row>
    <row r="14" spans="1:11" x14ac:dyDescent="0.25">
      <c r="A14" t="s">
        <v>10</v>
      </c>
      <c r="B14" s="2">
        <f>1-B13/B12</f>
        <v>2.4558823529411744E-2</v>
      </c>
      <c r="K14" s="1">
        <v>2.1999999999999999E-10</v>
      </c>
    </row>
    <row r="15" spans="1:11" x14ac:dyDescent="0.25">
      <c r="K15" s="1">
        <v>1.0000000000000001E-9</v>
      </c>
    </row>
    <row r="16" spans="1:11" x14ac:dyDescent="0.25">
      <c r="A16" s="3" t="s">
        <v>12</v>
      </c>
      <c r="B16" s="3">
        <v>140</v>
      </c>
      <c r="K16" s="1">
        <v>1E-8</v>
      </c>
    </row>
    <row r="17" spans="1:11" x14ac:dyDescent="0.25">
      <c r="A17" t="s">
        <v>6</v>
      </c>
      <c r="B17" s="1">
        <f>I4*K2</f>
        <v>6.8</v>
      </c>
      <c r="K17" s="1">
        <v>6.8000000000000003E-10</v>
      </c>
    </row>
    <row r="18" spans="1:11" x14ac:dyDescent="0.25">
      <c r="A18" t="s">
        <v>9</v>
      </c>
      <c r="B18" s="1">
        <f>K20*(I8+2*I2)</f>
        <v>6.4390000000000001</v>
      </c>
      <c r="K18" s="1">
        <v>2.2000000000000001E-6</v>
      </c>
    </row>
    <row r="19" spans="1:11" x14ac:dyDescent="0.25">
      <c r="A19" t="s">
        <v>10</v>
      </c>
      <c r="B19" s="2">
        <f>1-B18/B17</f>
        <v>5.3088235294117658E-2</v>
      </c>
      <c r="K19" s="1">
        <v>6.7999999999999998E-11</v>
      </c>
    </row>
    <row r="20" spans="1:11" x14ac:dyDescent="0.25">
      <c r="K20" s="1">
        <v>4.7E-7</v>
      </c>
    </row>
    <row r="21" spans="1:11" x14ac:dyDescent="0.25">
      <c r="A21" s="3" t="s">
        <v>12</v>
      </c>
      <c r="B21" s="3">
        <v>100</v>
      </c>
      <c r="K21" s="1">
        <v>6.8000000000000001E-6</v>
      </c>
    </row>
    <row r="22" spans="1:11" x14ac:dyDescent="0.25">
      <c r="A22" t="s">
        <v>6</v>
      </c>
      <c r="B22" s="1">
        <f>$I$4*$K$2</f>
        <v>6.8</v>
      </c>
    </row>
    <row r="23" spans="1:11" x14ac:dyDescent="0.25">
      <c r="A23" t="s">
        <v>9</v>
      </c>
      <c r="B23" s="1">
        <f>K7*(I12+2*I11)</f>
        <v>6.6680000000000001</v>
      </c>
    </row>
    <row r="24" spans="1:11" x14ac:dyDescent="0.25">
      <c r="A24" t="s">
        <v>10</v>
      </c>
      <c r="B24" s="2">
        <f>1-B23/B22</f>
        <v>1.9411764705882351E-2</v>
      </c>
    </row>
    <row r="27" spans="1:11" x14ac:dyDescent="0.25">
      <c r="A27" t="s">
        <v>16</v>
      </c>
      <c r="B27" s="1">
        <v>3.3000000000000002E-11</v>
      </c>
    </row>
    <row r="28" spans="1:11" x14ac:dyDescent="0.25">
      <c r="A28" t="s">
        <v>14</v>
      </c>
      <c r="B28" s="1">
        <v>1000000</v>
      </c>
    </row>
    <row r="29" spans="1:11" x14ac:dyDescent="0.25">
      <c r="A29" t="s">
        <v>15</v>
      </c>
      <c r="B29" s="1">
        <v>1000000</v>
      </c>
    </row>
    <row r="30" spans="1:11" x14ac:dyDescent="0.25">
      <c r="A30" t="s">
        <v>13</v>
      </c>
      <c r="B30" s="4">
        <f>(2*PI()*C_4*R_3)^(-1)</f>
        <v>4822.8770633907679</v>
      </c>
    </row>
  </sheetData>
  <conditionalFormatting sqref="B2">
    <cfRule type="expression" dxfId="4" priority="2">
      <formula>SUMPRODUCT((ABS(R_c-$I$2:$I$12)/ABS($I$2:$I$12)&lt;=0.05)*1)&gt;0</formula>
    </cfRule>
  </conditionalFormatting>
  <conditionalFormatting sqref="B3">
    <cfRule type="expression" dxfId="3" priority="5">
      <formula>SUMPRODUCT((ABS(C_c-$K$2:$K$20)/ABS($K$2:$K$20)&lt;=0.05)*1)&gt;0</formula>
    </cfRule>
  </conditionalFormatting>
  <conditionalFormatting sqref="B5">
    <cfRule type="expression" dxfId="2" priority="4">
      <formula>SUMPRODUCT((ABS(R_1-$I$2:$I$12)/ABS($I$2:$I$12)&lt;=0.05)*1)&gt;0</formula>
    </cfRule>
  </conditionalFormatting>
  <conditionalFormatting sqref="B6">
    <cfRule type="expression" dxfId="1" priority="3">
      <formula>SUMPRODUCT((ABS(R_2-$I$2:$I$12)/ABS($I$2:$I$12)&lt;=0.05)*1)&gt;0</formula>
    </cfRule>
  </conditionalFormatting>
  <conditionalFormatting sqref="B7">
    <cfRule type="expression" dxfId="0" priority="1">
      <formula>SUMPRODUCT((ABS(C_1-$K$2:$K$20)/ABS($K$2:$K$20)&lt;=0.05)*1)&gt;0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13</vt:i4>
      </vt:variant>
    </vt:vector>
  </HeadingPairs>
  <TitlesOfParts>
    <vt:vector size="14" baseType="lpstr">
      <vt:lpstr>Sheet1</vt:lpstr>
      <vt:lpstr>C_1</vt:lpstr>
      <vt:lpstr>C_4</vt:lpstr>
      <vt:lpstr>C_c</vt:lpstr>
      <vt:lpstr>Cap_4</vt:lpstr>
      <vt:lpstr>Cc</vt:lpstr>
      <vt:lpstr>F_Lo</vt:lpstr>
      <vt:lpstr>Gain</vt:lpstr>
      <vt:lpstr>Lo</vt:lpstr>
      <vt:lpstr>R_1</vt:lpstr>
      <vt:lpstr>R_2</vt:lpstr>
      <vt:lpstr>R_3</vt:lpstr>
      <vt:lpstr>R_4</vt:lpstr>
      <vt:lpstr>R_c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conor farrell</dc:creator>
  <cp:lastModifiedBy>conor farrell</cp:lastModifiedBy>
  <dcterms:created xsi:type="dcterms:W3CDTF">2025-11-03T10:29:49Z</dcterms:created>
  <dcterms:modified xsi:type="dcterms:W3CDTF">2025-11-17T11:24:05Z</dcterms:modified>
</cp:coreProperties>
</file>